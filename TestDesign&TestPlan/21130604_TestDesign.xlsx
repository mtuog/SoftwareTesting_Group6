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766A6C8-9375-4FE4-BD41-9031D19B5B1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Test case List" sheetId="2" r:id="rId2"/>
    <sheet name="TestDesign" sheetId="3" r:id="rId3"/>
    <sheet name="Login-Logout" sheetId="4" r:id="rId4"/>
    <sheet name="List Organisation" sheetId="5" r:id="rId5"/>
    <sheet name="Add Organisation" sheetId="6" r:id="rId6"/>
    <sheet name="Amend Organisation" sheetId="7" r:id="rId7"/>
    <sheet name="Test Report" sheetId="8" r:id="rId8"/>
  </sheets>
  <definedNames>
    <definedName name="_xlnm._FilterDatabase" localSheetId="2" hidden="1">TestDesign!$A$1:$F$26</definedName>
    <definedName name="_Toc301930468" localSheetId="2">TestDesign!#REF!</definedName>
    <definedName name="_Toc301930478" localSheetId="2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C13" i="8" l="1"/>
  <c r="C12" i="8"/>
  <c r="C11" i="8"/>
  <c r="C4" i="8"/>
  <c r="C5" i="8" s="1"/>
  <c r="C3" i="8"/>
  <c r="A14" i="7"/>
  <c r="A13" i="7"/>
  <c r="A12" i="7"/>
  <c r="A11" i="7"/>
  <c r="A10" i="7"/>
  <c r="A9" i="7"/>
  <c r="F6" i="7" s="1"/>
  <c r="E6" i="7"/>
  <c r="H13" i="8" s="1"/>
  <c r="D6" i="7"/>
  <c r="G13" i="8" s="1"/>
  <c r="B6" i="7"/>
  <c r="E13" i="8" s="1"/>
  <c r="A6" i="7"/>
  <c r="D13" i="8" s="1"/>
  <c r="A14" i="6"/>
  <c r="A13" i="6"/>
  <c r="A12" i="6"/>
  <c r="A11" i="6"/>
  <c r="A10" i="6"/>
  <c r="A9" i="6"/>
  <c r="F6" i="6" s="1"/>
  <c r="E6" i="6"/>
  <c r="H12" i="8" s="1"/>
  <c r="D6" i="6"/>
  <c r="G12" i="8" s="1"/>
  <c r="B6" i="6"/>
  <c r="E12" i="8" s="1"/>
  <c r="A6" i="6"/>
  <c r="D12" i="8" s="1"/>
  <c r="A17" i="5"/>
  <c r="A16" i="5"/>
  <c r="A15" i="5"/>
  <c r="A14" i="5"/>
  <c r="A13" i="5"/>
  <c r="A12" i="5"/>
  <c r="A11" i="5"/>
  <c r="A10" i="5"/>
  <c r="A9" i="5"/>
  <c r="F6" i="5" s="1"/>
  <c r="E6" i="5"/>
  <c r="H11" i="8" s="1"/>
  <c r="D6" i="5"/>
  <c r="G11" i="8" s="1"/>
  <c r="G15" i="8" s="1"/>
  <c r="B6" i="5"/>
  <c r="E11" i="8" s="1"/>
  <c r="A6" i="5"/>
  <c r="D11" i="8" s="1"/>
  <c r="A17" i="4"/>
  <c r="A16" i="4"/>
  <c r="A15" i="4"/>
  <c r="A14" i="4"/>
  <c r="A13" i="4"/>
  <c r="A12" i="4"/>
  <c r="A11" i="4"/>
  <c r="A10" i="4"/>
  <c r="F6" i="4" s="1"/>
  <c r="C6" i="4" s="1"/>
  <c r="A9" i="4"/>
  <c r="E6" i="4"/>
  <c r="D6" i="4"/>
  <c r="B6" i="4"/>
  <c r="A6" i="4"/>
  <c r="D4" i="2"/>
  <c r="D3" i="2"/>
  <c r="C6" i="1"/>
  <c r="C6" i="5" l="1"/>
  <c r="F11" i="8" s="1"/>
  <c r="I11" i="8"/>
  <c r="I12" i="8"/>
  <c r="C6" i="6"/>
  <c r="F12" i="8" s="1"/>
  <c r="C6" i="7"/>
  <c r="F13" i="8" s="1"/>
  <c r="I13" i="8"/>
  <c r="H15" i="8"/>
  <c r="D15" i="8"/>
  <c r="E15" i="8"/>
  <c r="E18" i="8" l="1"/>
  <c r="I15" i="8"/>
  <c r="E17" i="8" s="1"/>
  <c r="F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ID#AAAAK7FHTWs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fGWTK3BRPC+qIax+XpdMaXa++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family val="2"/>
            <scheme val="minor"/>
          </rPr>
          <t>======
ID#AAAAK7FHTWw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xM6obL64sRGOeTpcX5owyGgPU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family val="2"/>
            <scheme val="minor"/>
          </rPr>
          <t>======
ID#AAAAK7FHTW4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3M8fV2UVK2Eju2xAbbruPshXY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600-000001000000}">
      <text>
        <r>
          <rPr>
            <sz val="11"/>
            <color rgb="FF000000"/>
            <rFont val="Calibri"/>
            <family val="2"/>
            <scheme val="minor"/>
          </rPr>
          <t>======
ID#AAAAK7FHTW8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X14VhWgfiDUBGWFX2GCHFznoxQ=="/>
    </ext>
  </extLst>
</comments>
</file>

<file path=xl/sharedStrings.xml><?xml version="1.0" encoding="utf-8"?>
<sst xmlns="http://schemas.openxmlformats.org/spreadsheetml/2006/main" count="396" uniqueCount="211">
  <si>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</si>
  <si>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</si>
  <si>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</si>
  <si>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</si>
  <si>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</si>
  <si>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</si>
  <si>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</si>
  <si>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</si>
  <si>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</si>
  <si>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</si>
  <si>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</si>
  <si>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</si>
  <si>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</si>
  <si>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</si>
  <si>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</si>
  <si>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</si>
  <si>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</si>
  <si>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</si>
  <si>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</si>
  <si>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</si>
  <si>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</si>
  <si>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</si>
  <si>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</si>
  <si>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</si>
  <si>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</si>
  <si>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</si>
  <si>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</si>
  <si>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</si>
  <si>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</si>
  <si>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</si>
  <si>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</si>
  <si>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</si>
  <si>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</si>
  <si>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</si>
  <si>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</si>
  <si>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</si>
  <si>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</si>
  <si>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</si>
  <si>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</si>
  <si>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</si>
  <si>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</si>
  <si>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Check displaying Organisation List screen by clicking on [Organisations] from the menu</t>
  </si>
  <si>
    <t>Module Code</t>
  </si>
  <si>
    <t>ListOrganisation</t>
  </si>
  <si>
    <t>Passed</t>
  </si>
  <si>
    <t>Test requirement</t>
  </si>
  <si>
    <t xml:space="preserve">List Organisation </t>
  </si>
  <si>
    <t>Failed</t>
  </si>
  <si>
    <t>Tester</t>
  </si>
  <si>
    <t>Nguyen Van A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</si>
  <si>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</si>
  <si>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</si>
  <si>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</si>
  <si>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</si>
  <si>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</si>
  <si>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</si>
  <si>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</si>
  <si>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</si>
  <si>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</si>
  <si>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</si>
  <si>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</si>
  <si>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</si>
  <si>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</si>
  <si>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</si>
  <si>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</si>
  <si>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</si>
  <si>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</si>
  <si>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</si>
  <si>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</si>
  <si>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</si>
  <si>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</si>
  <si>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</si>
  <si>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</si>
  <si>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</si>
  <si>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</si>
  <si>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</si>
  <si>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</si>
  <si>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</si>
  <si>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</si>
  <si>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</si>
  <si>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</si>
  <si>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</si>
  <si>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</si>
  <si>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</si>
  <si>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</si>
  <si>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</si>
  <si>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</si>
  <si>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</si>
  <si>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</si>
  <si>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</si>
  <si>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</si>
  <si>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</si>
  <si>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</si>
  <si>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</si>
  <si>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</si>
  <si>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</si>
  <si>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</si>
  <si>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</si>
  <si>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</si>
  <si>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</si>
  <si>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</si>
  <si>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</si>
  <si>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</si>
  <si>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</si>
  <si>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</si>
  <si>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</si>
  <si>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</si>
  <si>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</si>
  <si>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</si>
  <si>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</si>
  <si>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</si>
  <si>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</si>
  <si>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</si>
  <si>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</si>
  <si>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</si>
  <si>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</si>
  <si>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</si>
  <si>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</si>
  <si>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</si>
  <si>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</si>
  <si>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</si>
  <si>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</si>
  <si>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</si>
  <si>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</si>
  <si>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</si>
  <si>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</si>
  <si>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</si>
  <si>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</si>
  <si>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</si>
  <si>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</si>
  <si>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</si>
  <si>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</si>
  <si>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</si>
  <si>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</si>
  <si>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</si>
  <si>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</si>
  <si>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</si>
  <si>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</si>
  <si>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</si>
  <si>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</si>
  <si>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</si>
  <si>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</si>
  <si>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</si>
  <si>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</si>
  <si>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</si>
  <si>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</si>
  <si>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</si>
  <si>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</si>
  <si>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</si>
  <si>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</si>
  <si>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</si>
  <si>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</si>
  <si>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Confirm Order Product</t>
  </si>
  <si>
    <t>Customer Information</t>
  </si>
  <si>
    <t>Enter Customer Information</t>
  </si>
  <si>
    <t xml:space="preserve"> Delivery Options</t>
  </si>
  <si>
    <t>Home Delivery</t>
  </si>
  <si>
    <t>Check if users can select a delivery address and time slot.</t>
  </si>
  <si>
    <t>Option to choose an alternative recipient is available.</t>
  </si>
  <si>
    <t>Store Pickup</t>
  </si>
  <si>
    <t>Check if users can select a store location and request technical support if needed.</t>
  </si>
  <si>
    <t>Store must be from an available list.</t>
  </si>
  <si>
    <t>Discount Codes and Loyalty Points</t>
  </si>
  <si>
    <t>Apply Discount Code</t>
  </si>
  <si>
    <t>The code must be valid and not expired.</t>
  </si>
  <si>
    <t>Immediate feedback if the code is invalid or expired.</t>
  </si>
  <si>
    <t>Use Loyalty Points</t>
  </si>
  <si>
    <t>The customer must be logged in, and the points used should not exceed their balance.</t>
  </si>
  <si>
    <t>Points are converted into a discount.</t>
  </si>
  <si>
    <t>Electronic Invoice Request</t>
  </si>
  <si>
    <t>Company Invoice</t>
  </si>
  <si>
    <t xml:space="preserve"> Enter valid company name, tax identification number, and address.</t>
  </si>
  <si>
    <t>Mandatory if selecting Company type.</t>
  </si>
  <si>
    <t>Personal Invoice</t>
  </si>
  <si>
    <t>Enter a valid address and email for receiving the invoice</t>
  </si>
  <si>
    <t>Address and email must be correctly formatted.</t>
  </si>
  <si>
    <t>Payment Methods</t>
  </si>
  <si>
    <t>Credit/Debit Card Payment</t>
  </si>
  <si>
    <t>Digital Wallet</t>
  </si>
  <si>
    <t>Ensure valid card information with card number, expiration date, and CVV.</t>
  </si>
  <si>
    <t>Supports Visa, MasterCard, and Amex.</t>
  </si>
  <si>
    <t>Log in to the wallet account and verify.</t>
  </si>
  <si>
    <t>Supports MoMo, ZaloPay, Apple Pay.</t>
  </si>
  <si>
    <t>Bank Transfer</t>
  </si>
  <si>
    <t>Follow bank transfer instructions and confirm.</t>
  </si>
  <si>
    <t>Cash on Delivery</t>
  </si>
  <si>
    <t>Check eligible areas for this payment method</t>
  </si>
  <si>
    <t>Confirm and Place Order</t>
  </si>
  <si>
    <t>Order Confirmation</t>
  </si>
  <si>
    <t>Ensure information is correct before clicking “Place Order.”</t>
  </si>
  <si>
    <t>Requires user agreement to the terms of service.</t>
  </si>
  <si>
    <t>Product Displaying</t>
  </si>
  <si>
    <t>Display Product Information</t>
  </si>
  <si>
    <t>Ensure that the product image, name, color, and price are correctly displayed.</t>
  </si>
  <si>
    <t>Verify that all product details are clearly visible and accurate.</t>
  </si>
  <si>
    <t>Verify that the product image and description match the details of the selected product.</t>
  </si>
  <si>
    <t>Ensure that the product is available and displays correctly upon page load</t>
  </si>
  <si>
    <t xml:space="preserve"> Check that all customer information fields (Full Name, Phone Number, Email) can be correctly filled and validated.</t>
  </si>
  <si>
    <t>Ensure that mandatory fields cannot be left blank</t>
  </si>
  <si>
    <t>Validate the email format follows standard email conventions (e.g., user@example.com).</t>
  </si>
  <si>
    <t>Check that an alert is displayed if the name exceeds 50 characters.</t>
  </si>
  <si>
    <t xml:space="preserve">Check that phone number is 10 number and start by 0. </t>
  </si>
  <si>
    <t>Verify that users can select the nearest store for pickup and display store hours.</t>
  </si>
  <si>
    <t>Ensure delivery date and time options are available in real-time.</t>
  </si>
  <si>
    <t>Ensure users can add a new delivery address and save it to their account</t>
  </si>
  <si>
    <t>Verify that users can select a shipping address from the saved list</t>
  </si>
  <si>
    <t>Display an error message if the discount code is invalid or expired</t>
  </si>
  <si>
    <t xml:space="preserve"> Confirm that the system does not allow both loyalty points and a discount code to be used simultaneously if restricted.</t>
  </si>
  <si>
    <t>Confirm that users receive a confirmation message upon successful order placement.</t>
  </si>
  <si>
    <t>Ensure users must agree to the terms and conditions before placing the order</t>
  </si>
  <si>
    <t>Check that the "Place Order" button functions and redirects to the confirmation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</si>
</sst>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Calibri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1"/>
      <color rgb="FF0000FF"/>
      <name val="MS PGothic"/>
      <family val="2"/>
    </font>
    <font>
      <u/>
      <sz val="10"/>
      <color rgb="FF0000FF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i/>
      <sz val="10"/>
      <color rgb="FF000000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indexed="64"/>
      </bottom>
      <diagonal/>
    </border>
    <border>
      <left style="hair">
        <color rgb="FF000000"/>
      </left>
      <right style="hair">
        <color indexed="64"/>
      </right>
      <top/>
      <bottom style="hair">
        <color indexed="64"/>
      </bottom>
      <diagonal/>
    </border>
    <border>
      <left style="hair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 style="hair">
        <color rgb="FF000000"/>
      </right>
      <top/>
      <bottom/>
      <diagonal/>
    </border>
    <border>
      <left style="hair">
        <color indexed="64"/>
      </left>
      <right style="hair">
        <color rgb="FF000000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7" fillId="2" borderId="27" xfId="0" applyFont="1" applyFill="1" applyBorder="1"/>
    <xf numFmtId="0" fontId="17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wrapText="1"/>
    </xf>
    <xf numFmtId="0" fontId="17" fillId="2" borderId="1" xfId="0" applyFont="1" applyFill="1" applyBorder="1"/>
    <xf numFmtId="0" fontId="10" fillId="2" borderId="28" xfId="0" applyFont="1" applyFill="1" applyBorder="1" applyAlignment="1">
      <alignment horizontal="left" wrapText="1"/>
    </xf>
    <xf numFmtId="0" fontId="10" fillId="2" borderId="29" xfId="0" applyFont="1" applyFill="1" applyBorder="1" applyAlignment="1">
      <alignment horizontal="left" wrapText="1"/>
    </xf>
    <xf numFmtId="0" fontId="8" fillId="2" borderId="2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7" fillId="2" borderId="3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6" xfId="0" applyFont="1" applyFill="1" applyBorder="1"/>
    <xf numFmtId="0" fontId="18" fillId="2" borderId="1" xfId="0" applyFont="1" applyFill="1" applyBorder="1"/>
    <xf numFmtId="0" fontId="16" fillId="0" borderId="5" xfId="0" applyFont="1" applyBorder="1" applyAlignment="1">
      <alignment horizontal="left" vertical="top"/>
    </xf>
    <xf numFmtId="0" fontId="17" fillId="2" borderId="27" xfId="0" applyFont="1" applyFill="1" applyBorder="1" applyAlignment="1">
      <alignment wrapText="1"/>
    </xf>
    <xf numFmtId="0" fontId="1" fillId="2" borderId="27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top" wrapText="1"/>
    </xf>
    <xf numFmtId="0" fontId="17" fillId="2" borderId="5" xfId="0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top"/>
    </xf>
    <xf numFmtId="0" fontId="10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19" fillId="2" borderId="5" xfId="0" applyFont="1" applyFill="1" applyBorder="1" applyAlignment="1">
      <alignment vertical="top" wrapText="1"/>
    </xf>
    <xf numFmtId="0" fontId="10" fillId="2" borderId="1" xfId="0" applyFont="1" applyFill="1" applyBorder="1"/>
    <xf numFmtId="1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35" xfId="0" applyFont="1" applyFill="1" applyBorder="1" applyAlignment="1">
      <alignment horizontal="left"/>
    </xf>
    <xf numFmtId="0" fontId="1" fillId="2" borderId="35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5" xfId="0" applyNumberFormat="1" applyFont="1" applyFill="1" applyBorder="1" applyAlignment="1">
      <alignment horizontal="left"/>
    </xf>
    <xf numFmtId="0" fontId="6" fillId="2" borderId="35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41" xfId="0" applyFont="1" applyFill="1" applyBorder="1"/>
    <xf numFmtId="0" fontId="7" fillId="3" borderId="42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 wrapText="1"/>
    </xf>
    <xf numFmtId="0" fontId="1" fillId="2" borderId="44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20" fillId="3" borderId="47" xfId="0" applyFont="1" applyFill="1" applyBorder="1" applyAlignment="1">
      <alignment horizontal="center"/>
    </xf>
    <xf numFmtId="0" fontId="7" fillId="3" borderId="21" xfId="0" applyFont="1" applyFill="1" applyBorder="1"/>
    <xf numFmtId="0" fontId="20" fillId="3" borderId="21" xfId="0" applyFont="1" applyFill="1" applyBorder="1" applyAlignment="1">
      <alignment horizontal="center"/>
    </xf>
    <xf numFmtId="0" fontId="20" fillId="3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15" fillId="0" borderId="49" xfId="0" applyFont="1" applyBorder="1" applyAlignment="1">
      <alignment horizontal="left" vertical="center" wrapText="1"/>
    </xf>
    <xf numFmtId="0" fontId="22" fillId="0" borderId="18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0" fillId="0" borderId="51" xfId="0" applyBorder="1"/>
    <xf numFmtId="0" fontId="0" fillId="0" borderId="52" xfId="0" applyBorder="1"/>
    <xf numFmtId="0" fontId="15" fillId="0" borderId="53" xfId="0" applyFont="1" applyBorder="1" applyAlignment="1">
      <alignment horizontal="left" vertical="center" wrapText="1"/>
    </xf>
    <xf numFmtId="0" fontId="0" fillId="0" borderId="54" xfId="0" applyBorder="1"/>
    <xf numFmtId="0" fontId="22" fillId="0" borderId="49" xfId="0" applyFont="1" applyBorder="1" applyAlignment="1">
      <alignment vertical="center" wrapText="1"/>
    </xf>
    <xf numFmtId="0" fontId="22" fillId="0" borderId="57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center"/>
    </xf>
    <xf numFmtId="0" fontId="4" fillId="0" borderId="39" xfId="0" applyFont="1" applyBorder="1"/>
    <xf numFmtId="0" fontId="4" fillId="0" borderId="40" xfId="0" applyFont="1" applyBorder="1"/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7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7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140" t="s">
        <v>0</v>
      </c>
      <c r="C2" s="141"/>
      <c r="D2" s="141"/>
      <c r="E2" s="141"/>
      <c r="F2" s="141"/>
      <c r="G2" s="14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143" t="s">
        <v>2</v>
      </c>
      <c r="D4" s="141"/>
      <c r="E4" s="142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5</v>
      </c>
      <c r="C5" s="143" t="s">
        <v>2</v>
      </c>
      <c r="D5" s="141"/>
      <c r="E5" s="142"/>
      <c r="F5" s="8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44" t="s">
        <v>8</v>
      </c>
      <c r="C6" s="146" t="str">
        <f>C5&amp;"_TestCase_V0.1"</f>
        <v>AB-SD_TestCase_V0.1</v>
      </c>
      <c r="D6" s="147"/>
      <c r="E6" s="148"/>
      <c r="F6" s="8" t="s">
        <v>9</v>
      </c>
      <c r="G6" s="10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45"/>
      <c r="C7" s="149"/>
      <c r="D7" s="150"/>
      <c r="E7" s="151"/>
      <c r="F7" s="8" t="s">
        <v>10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12</v>
      </c>
      <c r="C11" s="16" t="s">
        <v>10</v>
      </c>
      <c r="D11" s="16" t="s">
        <v>13</v>
      </c>
      <c r="E11" s="16" t="s">
        <v>14</v>
      </c>
      <c r="F11" s="16" t="s">
        <v>15</v>
      </c>
      <c r="G11" s="17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3">
      <c r="A12" s="18"/>
      <c r="B12" s="19">
        <v>42019</v>
      </c>
      <c r="C12" s="20" t="s">
        <v>17</v>
      </c>
      <c r="D12" s="18"/>
      <c r="E12" s="21" t="s">
        <v>18</v>
      </c>
      <c r="F12" s="21" t="s">
        <v>19</v>
      </c>
      <c r="G12" s="22" t="s">
        <v>20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 x14ac:dyDescent="0.4">
      <c r="A1" s="7"/>
      <c r="B1" s="29"/>
      <c r="C1" s="30"/>
      <c r="D1" s="31" t="s">
        <v>21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152" t="s">
        <v>1</v>
      </c>
      <c r="C3" s="153"/>
      <c r="D3" s="154" t="str">
        <f>Cover!C4</f>
        <v>AB-SD</v>
      </c>
      <c r="E3" s="141"/>
      <c r="F3" s="14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152" t="s">
        <v>5</v>
      </c>
      <c r="C4" s="153"/>
      <c r="D4" s="154" t="str">
        <f>Cover!C5</f>
        <v>AB-SD</v>
      </c>
      <c r="E4" s="141"/>
      <c r="F4" s="14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155" t="s">
        <v>22</v>
      </c>
      <c r="C5" s="142"/>
      <c r="D5" s="156" t="s">
        <v>23</v>
      </c>
      <c r="E5" s="141"/>
      <c r="F5" s="142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24</v>
      </c>
      <c r="C8" s="41" t="s">
        <v>25</v>
      </c>
      <c r="D8" s="41" t="s">
        <v>26</v>
      </c>
      <c r="E8" s="42" t="s">
        <v>27</v>
      </c>
      <c r="F8" s="43" t="s">
        <v>28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29</v>
      </c>
      <c r="D9" s="46" t="s">
        <v>30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>
        <v>2</v>
      </c>
      <c r="C10" s="45" t="s">
        <v>31</v>
      </c>
      <c r="D10" s="46" t="s">
        <v>32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9" t="s">
        <v>33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"/>
  <sheetViews>
    <sheetView tabSelected="1" zoomScale="70" zoomScaleNormal="70" workbookViewId="0">
      <selection activeCell="D7" sqref="D7"/>
    </sheetView>
  </sheetViews>
  <sheetFormatPr defaultColWidth="14.44140625" defaultRowHeight="15" customHeight="1" x14ac:dyDescent="0.3"/>
  <cols>
    <col min="1" max="1" width="30" customWidth="1"/>
    <col min="2" max="2" width="26.109375" customWidth="1"/>
    <col min="3" max="3" width="27.6640625" customWidth="1"/>
    <col min="4" max="4" width="81.6640625" customWidth="1"/>
    <col min="5" max="5" width="19.33203125" customWidth="1"/>
    <col min="6" max="6" width="40.88671875" customWidth="1"/>
    <col min="7" max="26" width="11.44140625" customWidth="1"/>
  </cols>
  <sheetData>
    <row r="1" spans="1:26" ht="27.75" customHeight="1" x14ac:dyDescent="0.3">
      <c r="A1" s="55" t="s">
        <v>34</v>
      </c>
      <c r="B1" s="55" t="s">
        <v>35</v>
      </c>
      <c r="C1" s="55" t="s">
        <v>36</v>
      </c>
      <c r="D1" s="55" t="s">
        <v>37</v>
      </c>
      <c r="E1" s="55" t="s">
        <v>38</v>
      </c>
      <c r="F1" s="55" t="s">
        <v>39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25.8" customHeight="1" x14ac:dyDescent="0.3">
      <c r="A2" s="161" t="s">
        <v>152</v>
      </c>
      <c r="B2" s="157" t="s">
        <v>191</v>
      </c>
      <c r="C2" s="171" t="s">
        <v>192</v>
      </c>
      <c r="D2" s="58" t="s">
        <v>193</v>
      </c>
      <c r="E2" s="59" t="s">
        <v>40</v>
      </c>
      <c r="F2" s="58" t="s">
        <v>194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25.8" customHeight="1" x14ac:dyDescent="0.3">
      <c r="A3" s="162"/>
      <c r="B3" s="158"/>
      <c r="C3" s="172"/>
      <c r="D3" t="s">
        <v>195</v>
      </c>
      <c r="E3" s="59" t="s">
        <v>40</v>
      </c>
      <c r="F3" s="58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25.8" customHeight="1" x14ac:dyDescent="0.3">
      <c r="A4" s="162"/>
      <c r="B4" s="160"/>
      <c r="C4" s="173"/>
      <c r="D4" s="58" t="s">
        <v>196</v>
      </c>
      <c r="E4" s="59" t="s">
        <v>40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32.4" customHeight="1" x14ac:dyDescent="0.3">
      <c r="A5" s="162"/>
      <c r="B5" s="157" t="s">
        <v>153</v>
      </c>
      <c r="C5" s="157" t="s">
        <v>154</v>
      </c>
      <c r="D5" s="58" t="s">
        <v>197</v>
      </c>
      <c r="E5" s="59" t="s">
        <v>40</v>
      </c>
      <c r="F5" s="5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32.4" customHeight="1" x14ac:dyDescent="0.3">
      <c r="A6" s="162"/>
      <c r="B6" s="158"/>
      <c r="C6" s="158"/>
      <c r="D6" s="58" t="s">
        <v>198</v>
      </c>
      <c r="E6" s="59" t="s">
        <v>40</v>
      </c>
      <c r="F6" s="58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32.4" customHeight="1" x14ac:dyDescent="0.3">
      <c r="A7" s="162"/>
      <c r="B7" s="158"/>
      <c r="C7" s="158"/>
      <c r="D7" s="58" t="s">
        <v>199</v>
      </c>
      <c r="E7" s="59" t="s">
        <v>40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32.4" customHeight="1" x14ac:dyDescent="0.3">
      <c r="A8" s="162"/>
      <c r="B8" s="158"/>
      <c r="C8" s="158"/>
      <c r="D8" s="58" t="s">
        <v>201</v>
      </c>
      <c r="E8" s="59" t="s">
        <v>40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32.4" customHeight="1" x14ac:dyDescent="0.3">
      <c r="A9" s="162"/>
      <c r="B9" s="159"/>
      <c r="C9" s="160"/>
      <c r="D9" s="58" t="s">
        <v>200</v>
      </c>
      <c r="E9" s="59" t="s">
        <v>40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28.8" customHeight="1" x14ac:dyDescent="0.3">
      <c r="A10" s="162"/>
      <c r="B10" s="170" t="s">
        <v>155</v>
      </c>
      <c r="C10" s="157" t="s">
        <v>156</v>
      </c>
      <c r="D10" s="58" t="s">
        <v>157</v>
      </c>
      <c r="E10" s="59" t="s">
        <v>40</v>
      </c>
      <c r="F10" s="58" t="s">
        <v>158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28.8" customHeight="1" x14ac:dyDescent="0.3">
      <c r="A11" s="162"/>
      <c r="B11" s="158"/>
      <c r="C11" s="158"/>
      <c r="D11" s="58" t="s">
        <v>204</v>
      </c>
      <c r="E11" s="59" t="s">
        <v>40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28.8" customHeight="1" x14ac:dyDescent="0.3">
      <c r="A12" s="162"/>
      <c r="B12" s="158"/>
      <c r="C12" s="160"/>
      <c r="D12" s="132" t="s">
        <v>205</v>
      </c>
      <c r="E12" s="59" t="s">
        <v>40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34.799999999999997" customHeight="1" x14ac:dyDescent="0.3">
      <c r="A13" s="162"/>
      <c r="B13" s="158"/>
      <c r="C13" s="157" t="s">
        <v>159</v>
      </c>
      <c r="D13" s="58" t="s">
        <v>160</v>
      </c>
      <c r="E13" s="59" t="s">
        <v>40</v>
      </c>
      <c r="F13" s="58" t="s">
        <v>161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34.200000000000003" customHeight="1" x14ac:dyDescent="0.3">
      <c r="A14" s="162"/>
      <c r="B14" s="158"/>
      <c r="C14" s="158"/>
      <c r="D14" t="s">
        <v>203</v>
      </c>
      <c r="E14" s="59" t="s">
        <v>40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34.799999999999997" customHeight="1" x14ac:dyDescent="0.3">
      <c r="A15" s="162"/>
      <c r="B15" s="160"/>
      <c r="C15" s="160"/>
      <c r="D15" s="58" t="s">
        <v>202</v>
      </c>
      <c r="E15" s="59" t="s">
        <v>40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27.75" customHeight="1" x14ac:dyDescent="0.3">
      <c r="A16" s="162"/>
      <c r="B16" s="157" t="s">
        <v>162</v>
      </c>
      <c r="C16" s="157" t="s">
        <v>163</v>
      </c>
      <c r="D16" s="58" t="s">
        <v>164</v>
      </c>
      <c r="E16" s="59" t="s">
        <v>40</v>
      </c>
      <c r="F16" s="58" t="s">
        <v>165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7.75" customHeight="1" x14ac:dyDescent="0.3">
      <c r="A17" s="162"/>
      <c r="B17" s="158"/>
      <c r="C17" s="160"/>
      <c r="D17" s="132" t="s">
        <v>206</v>
      </c>
      <c r="E17" s="59" t="s">
        <v>40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27.75" customHeight="1" x14ac:dyDescent="0.3">
      <c r="A18" s="162"/>
      <c r="B18" s="158"/>
      <c r="C18" s="157" t="s">
        <v>166</v>
      </c>
      <c r="D18" s="58" t="s">
        <v>167</v>
      </c>
      <c r="E18" s="59" t="s">
        <v>40</v>
      </c>
      <c r="F18" s="58" t="s">
        <v>168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27.75" customHeight="1" x14ac:dyDescent="0.3">
      <c r="A19" s="162"/>
      <c r="B19" s="160"/>
      <c r="C19" s="160"/>
      <c r="D19" s="132" t="s">
        <v>207</v>
      </c>
      <c r="E19" s="59" t="s">
        <v>40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27.75" customHeight="1" x14ac:dyDescent="0.3">
      <c r="A20" s="162"/>
      <c r="B20" s="157" t="s">
        <v>169</v>
      </c>
      <c r="C20" s="131" t="s">
        <v>170</v>
      </c>
      <c r="D20" s="58" t="s">
        <v>171</v>
      </c>
      <c r="E20" s="59" t="s">
        <v>40</v>
      </c>
      <c r="F20" s="58" t="s">
        <v>172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27.75" customHeight="1" x14ac:dyDescent="0.3">
      <c r="A21" s="162"/>
      <c r="B21" s="160"/>
      <c r="C21" s="61" t="s">
        <v>173</v>
      </c>
      <c r="D21" s="58" t="s">
        <v>174</v>
      </c>
      <c r="E21" s="59" t="s">
        <v>40</v>
      </c>
      <c r="F21" s="58" t="s">
        <v>175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38.4" customHeight="1" x14ac:dyDescent="0.3">
      <c r="A22" s="162"/>
      <c r="B22" s="157" t="s">
        <v>176</v>
      </c>
      <c r="C22" s="57" t="s">
        <v>177</v>
      </c>
      <c r="D22" s="58" t="s">
        <v>179</v>
      </c>
      <c r="E22" s="59" t="s">
        <v>40</v>
      </c>
      <c r="F22" s="58" t="s">
        <v>180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40.200000000000003" customHeight="1" x14ac:dyDescent="0.3">
      <c r="A23" s="162"/>
      <c r="B23" s="158"/>
      <c r="C23" s="57" t="s">
        <v>178</v>
      </c>
      <c r="D23" s="58" t="s">
        <v>181</v>
      </c>
      <c r="E23" s="59" t="s">
        <v>40</v>
      </c>
      <c r="F23" s="58" t="s">
        <v>182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34.799999999999997" customHeight="1" x14ac:dyDescent="0.3">
      <c r="A24" s="162"/>
      <c r="B24" s="158"/>
      <c r="C24" s="57" t="s">
        <v>183</v>
      </c>
      <c r="D24" s="58" t="s">
        <v>184</v>
      </c>
      <c r="E24" s="59" t="s">
        <v>40</v>
      </c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41.4" customHeight="1" x14ac:dyDescent="0.3">
      <c r="A25" s="162"/>
      <c r="B25" s="159"/>
      <c r="C25" s="57" t="s">
        <v>185</v>
      </c>
      <c r="D25" s="58" t="s">
        <v>186</v>
      </c>
      <c r="E25" s="59" t="s">
        <v>40</v>
      </c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34.799999999999997" customHeight="1" x14ac:dyDescent="0.3">
      <c r="A26" s="162"/>
      <c r="B26" s="167" t="s">
        <v>187</v>
      </c>
      <c r="C26" s="164" t="s">
        <v>188</v>
      </c>
      <c r="D26" s="58" t="s">
        <v>189</v>
      </c>
      <c r="E26" s="59" t="s">
        <v>40</v>
      </c>
      <c r="F26" s="58" t="s">
        <v>190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" customHeight="1" x14ac:dyDescent="0.3">
      <c r="A27" s="162"/>
      <c r="B27" s="168"/>
      <c r="C27" s="165"/>
      <c r="D27" s="138" t="s">
        <v>208</v>
      </c>
      <c r="E27" s="131" t="s">
        <v>40</v>
      </c>
      <c r="F27" s="137"/>
    </row>
    <row r="28" spans="1:26" ht="15" customHeight="1" x14ac:dyDescent="0.3">
      <c r="A28" s="162"/>
      <c r="B28" s="168"/>
      <c r="C28" s="165"/>
      <c r="D28" s="139" t="s">
        <v>209</v>
      </c>
      <c r="E28" s="136" t="s">
        <v>40</v>
      </c>
      <c r="F28" s="134"/>
    </row>
    <row r="29" spans="1:26" ht="15" customHeight="1" x14ac:dyDescent="0.3">
      <c r="A29" s="163"/>
      <c r="B29" s="169"/>
      <c r="C29" s="166"/>
      <c r="D29" s="133" t="s">
        <v>210</v>
      </c>
      <c r="E29" s="59" t="s">
        <v>40</v>
      </c>
      <c r="F29" s="135"/>
    </row>
  </sheetData>
  <autoFilter ref="A1:F26" xr:uid="{00000000-0009-0000-0000-000002000000}"/>
  <mergeCells count="15">
    <mergeCell ref="B5:B9"/>
    <mergeCell ref="B2:B4"/>
    <mergeCell ref="A2:A29"/>
    <mergeCell ref="C26:C29"/>
    <mergeCell ref="B26:B29"/>
    <mergeCell ref="B22:B25"/>
    <mergeCell ref="B20:B21"/>
    <mergeCell ref="B16:B19"/>
    <mergeCell ref="B10:B15"/>
    <mergeCell ref="C2:C4"/>
    <mergeCell ref="C5:C9"/>
    <mergeCell ref="C10:C12"/>
    <mergeCell ref="C13:C15"/>
    <mergeCell ref="C16:C17"/>
    <mergeCell ref="C18:C1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7.3320312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9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 x14ac:dyDescent="0.3">
      <c r="A1" s="62"/>
      <c r="B1" s="63"/>
      <c r="C1" s="63"/>
      <c r="D1" s="63"/>
      <c r="E1" s="63"/>
      <c r="F1" s="34"/>
      <c r="G1" s="64"/>
      <c r="H1" s="34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 x14ac:dyDescent="0.3">
      <c r="A2" s="67" t="s">
        <v>42</v>
      </c>
      <c r="B2" s="174" t="s">
        <v>43</v>
      </c>
      <c r="C2" s="141"/>
      <c r="D2" s="141"/>
      <c r="E2" s="141"/>
      <c r="F2" s="141"/>
      <c r="G2" s="141"/>
      <c r="H2" s="142"/>
      <c r="I2" s="65"/>
      <c r="J2" s="66" t="s">
        <v>44</v>
      </c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25.5" customHeight="1" x14ac:dyDescent="0.3">
      <c r="A3" s="68" t="s">
        <v>45</v>
      </c>
      <c r="B3" s="174" t="s">
        <v>46</v>
      </c>
      <c r="C3" s="141"/>
      <c r="D3" s="141"/>
      <c r="E3" s="141"/>
      <c r="F3" s="141"/>
      <c r="G3" s="141"/>
      <c r="H3" s="142"/>
      <c r="I3" s="65"/>
      <c r="J3" s="66" t="s">
        <v>47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8" customHeight="1" x14ac:dyDescent="0.3">
      <c r="A4" s="67" t="s">
        <v>48</v>
      </c>
      <c r="B4" s="174" t="s">
        <v>49</v>
      </c>
      <c r="C4" s="141"/>
      <c r="D4" s="141"/>
      <c r="E4" s="141"/>
      <c r="F4" s="141"/>
      <c r="G4" s="141"/>
      <c r="H4" s="142"/>
      <c r="I4" s="65"/>
      <c r="J4" s="66" t="s">
        <v>50</v>
      </c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9.5" customHeight="1" x14ac:dyDescent="0.3">
      <c r="A5" s="69" t="s">
        <v>44</v>
      </c>
      <c r="B5" s="70" t="s">
        <v>47</v>
      </c>
      <c r="C5" s="70" t="s">
        <v>51</v>
      </c>
      <c r="D5" s="70" t="s">
        <v>50</v>
      </c>
      <c r="E5" s="71" t="s">
        <v>52</v>
      </c>
      <c r="F5" s="175" t="s">
        <v>53</v>
      </c>
      <c r="G5" s="141"/>
      <c r="H5" s="142"/>
      <c r="I5" s="72"/>
      <c r="J5" s="66" t="s">
        <v>51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5" customHeight="1" x14ac:dyDescent="0.3">
      <c r="A6" s="73">
        <f>COUNTIF(F9:F996,"Passed")</f>
        <v>7</v>
      </c>
      <c r="B6" s="74">
        <f>COUNTIF(F9:F996,"Failed")</f>
        <v>2</v>
      </c>
      <c r="C6" s="74">
        <f>F6-E6-D6-B6-A6</f>
        <v>0</v>
      </c>
      <c r="D6" s="74">
        <f>COUNTIF(F$9:F$996,"Blocked")</f>
        <v>0</v>
      </c>
      <c r="E6" s="75">
        <f>COUNTIF(F$9:F$996,"Skipped")</f>
        <v>0</v>
      </c>
      <c r="F6" s="176">
        <f>COUNTA(A9:A996)</f>
        <v>9</v>
      </c>
      <c r="G6" s="141"/>
      <c r="H6" s="142"/>
      <c r="I6" s="72"/>
      <c r="J6" s="66" t="s">
        <v>52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" customHeight="1" x14ac:dyDescent="0.3">
      <c r="A7" s="66"/>
      <c r="B7" s="66"/>
      <c r="C7" s="66"/>
      <c r="D7" s="76"/>
      <c r="E7" s="76"/>
      <c r="F7" s="77"/>
      <c r="G7" s="77"/>
      <c r="H7" s="77"/>
      <c r="I7" s="72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25.5" customHeight="1" x14ac:dyDescent="0.3">
      <c r="A8" s="78" t="s">
        <v>54</v>
      </c>
      <c r="B8" s="79" t="s">
        <v>55</v>
      </c>
      <c r="C8" s="79" t="s">
        <v>56</v>
      </c>
      <c r="D8" s="79" t="s">
        <v>57</v>
      </c>
      <c r="E8" s="80" t="s">
        <v>58</v>
      </c>
      <c r="F8" s="80" t="s">
        <v>59</v>
      </c>
      <c r="G8" s="80" t="s">
        <v>60</v>
      </c>
      <c r="H8" s="81" t="s">
        <v>39</v>
      </c>
      <c r="I8" s="82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30" customHeight="1" x14ac:dyDescent="0.3">
      <c r="A9" s="83" t="str">
        <f t="shared" ref="A9:A17" si="0">IF(OR(B9&lt;&gt;"",D9&lt;&gt;""),"["&amp;TEXT($B$2,"##")&amp;"-"&amp;TEXT(ROW()-8,"##")&amp;"]","")</f>
        <v>[ListOrganisation-1]</v>
      </c>
      <c r="B9" s="84" t="s">
        <v>61</v>
      </c>
      <c r="C9" s="84"/>
      <c r="D9" s="84"/>
      <c r="E9" s="84" t="s">
        <v>62</v>
      </c>
      <c r="F9" s="85" t="s">
        <v>44</v>
      </c>
      <c r="G9" s="86">
        <v>42019</v>
      </c>
      <c r="H9" s="87"/>
      <c r="I9" s="8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5" customHeight="1" x14ac:dyDescent="0.3">
      <c r="A10" s="83" t="str">
        <f t="shared" si="0"/>
        <v>[ListOrganisation-2]</v>
      </c>
      <c r="B10" s="84" t="s">
        <v>63</v>
      </c>
      <c r="C10" s="84" t="s">
        <v>64</v>
      </c>
      <c r="D10" s="84" t="s">
        <v>65</v>
      </c>
      <c r="E10" s="84" t="s">
        <v>62</v>
      </c>
      <c r="F10" s="85" t="s">
        <v>44</v>
      </c>
      <c r="G10" s="86">
        <v>42019</v>
      </c>
      <c r="H10" s="87"/>
      <c r="I10" s="8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 x14ac:dyDescent="0.3">
      <c r="A11" s="83" t="str">
        <f t="shared" si="0"/>
        <v>[ListOrganisation-3]</v>
      </c>
      <c r="B11" s="84" t="s">
        <v>66</v>
      </c>
      <c r="C11" s="84" t="s">
        <v>67</v>
      </c>
      <c r="D11" s="84" t="s">
        <v>68</v>
      </c>
      <c r="E11" s="84" t="s">
        <v>69</v>
      </c>
      <c r="F11" s="85" t="s">
        <v>44</v>
      </c>
      <c r="G11" s="86">
        <v>42019</v>
      </c>
      <c r="H11" s="87"/>
      <c r="I11" s="89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0" customHeight="1" x14ac:dyDescent="0.3">
      <c r="A12" s="83" t="str">
        <f t="shared" si="0"/>
        <v>[ListOrganisation-4]</v>
      </c>
      <c r="B12" s="84" t="s">
        <v>70</v>
      </c>
      <c r="C12" s="84" t="s">
        <v>71</v>
      </c>
      <c r="D12" s="84" t="s">
        <v>72</v>
      </c>
      <c r="E12" s="84" t="s">
        <v>73</v>
      </c>
      <c r="F12" s="85" t="s">
        <v>44</v>
      </c>
      <c r="G12" s="86">
        <v>42019</v>
      </c>
      <c r="H12" s="87"/>
      <c r="I12" s="8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5" customHeight="1" x14ac:dyDescent="0.3">
      <c r="A13" s="83" t="str">
        <f t="shared" si="0"/>
        <v>[ListOrganisation-5]</v>
      </c>
      <c r="B13" s="84" t="s">
        <v>74</v>
      </c>
      <c r="C13" s="84" t="s">
        <v>75</v>
      </c>
      <c r="D13" s="84" t="s">
        <v>76</v>
      </c>
      <c r="E13" s="84" t="s">
        <v>77</v>
      </c>
      <c r="F13" s="85" t="s">
        <v>44</v>
      </c>
      <c r="G13" s="86">
        <v>42019</v>
      </c>
      <c r="H13" s="90"/>
      <c r="I13" s="9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 x14ac:dyDescent="0.3">
      <c r="A14" s="83" t="str">
        <f t="shared" si="0"/>
        <v>[ListOrganisation-6]</v>
      </c>
      <c r="B14" s="84" t="s">
        <v>78</v>
      </c>
      <c r="C14" s="84" t="s">
        <v>79</v>
      </c>
      <c r="D14" s="84" t="s">
        <v>80</v>
      </c>
      <c r="E14" s="84" t="s">
        <v>81</v>
      </c>
      <c r="F14" s="85" t="s">
        <v>44</v>
      </c>
      <c r="G14" s="86">
        <v>42019</v>
      </c>
      <c r="H14" s="87"/>
      <c r="I14" s="89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75" customHeight="1" x14ac:dyDescent="0.3">
      <c r="A15" s="83" t="str">
        <f t="shared" si="0"/>
        <v>[ListOrganisation-7]</v>
      </c>
      <c r="B15" s="84" t="s">
        <v>82</v>
      </c>
      <c r="C15" s="84" t="s">
        <v>83</v>
      </c>
      <c r="D15" s="84" t="s">
        <v>84</v>
      </c>
      <c r="E15" s="84"/>
      <c r="F15" s="85" t="s">
        <v>44</v>
      </c>
      <c r="G15" s="86">
        <v>42019</v>
      </c>
      <c r="H15" s="87"/>
      <c r="I15" s="8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 x14ac:dyDescent="0.3">
      <c r="A16" s="83" t="str">
        <f t="shared" si="0"/>
        <v>[ListOrganisation-8]</v>
      </c>
      <c r="B16" s="84" t="s">
        <v>85</v>
      </c>
      <c r="C16" s="84" t="s">
        <v>86</v>
      </c>
      <c r="D16" s="84" t="s">
        <v>87</v>
      </c>
      <c r="E16" s="84"/>
      <c r="F16" s="85" t="s">
        <v>47</v>
      </c>
      <c r="G16" s="86">
        <v>42019</v>
      </c>
      <c r="H16" s="87" t="s">
        <v>88</v>
      </c>
      <c r="I16" s="9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 x14ac:dyDescent="0.3">
      <c r="A17" s="83" t="str">
        <f t="shared" si="0"/>
        <v>[ListOrganisation-9]</v>
      </c>
      <c r="B17" s="84" t="s">
        <v>89</v>
      </c>
      <c r="C17" s="84" t="s">
        <v>90</v>
      </c>
      <c r="D17" s="84" t="s">
        <v>91</v>
      </c>
      <c r="E17" s="92" t="s">
        <v>92</v>
      </c>
      <c r="F17" s="85" t="s">
        <v>47</v>
      </c>
      <c r="G17" s="86">
        <v>42019</v>
      </c>
      <c r="H17" s="87" t="s">
        <v>93</v>
      </c>
      <c r="I17" s="9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1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1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1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1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1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1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1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1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 x14ac:dyDescent="0.3">
      <c r="A1" s="62"/>
      <c r="B1" s="63"/>
      <c r="C1" s="63"/>
      <c r="D1" s="63"/>
      <c r="E1" s="63"/>
      <c r="F1" s="34"/>
      <c r="G1" s="64"/>
      <c r="H1" s="34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 x14ac:dyDescent="0.3">
      <c r="A2" s="67" t="s">
        <v>42</v>
      </c>
      <c r="B2" s="174" t="s">
        <v>43</v>
      </c>
      <c r="C2" s="141"/>
      <c r="D2" s="141"/>
      <c r="E2" s="141"/>
      <c r="F2" s="141"/>
      <c r="G2" s="141"/>
      <c r="H2" s="142"/>
      <c r="I2" s="65"/>
      <c r="J2" s="66" t="s">
        <v>44</v>
      </c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25.5" customHeight="1" x14ac:dyDescent="0.3">
      <c r="A3" s="68" t="s">
        <v>45</v>
      </c>
      <c r="B3" s="174" t="s">
        <v>46</v>
      </c>
      <c r="C3" s="141"/>
      <c r="D3" s="141"/>
      <c r="E3" s="141"/>
      <c r="F3" s="141"/>
      <c r="G3" s="141"/>
      <c r="H3" s="142"/>
      <c r="I3" s="65"/>
      <c r="J3" s="66" t="s">
        <v>47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8" customHeight="1" x14ac:dyDescent="0.3">
      <c r="A4" s="67" t="s">
        <v>48</v>
      </c>
      <c r="B4" s="174" t="s">
        <v>49</v>
      </c>
      <c r="C4" s="141"/>
      <c r="D4" s="141"/>
      <c r="E4" s="141"/>
      <c r="F4" s="141"/>
      <c r="G4" s="141"/>
      <c r="H4" s="142"/>
      <c r="I4" s="65"/>
      <c r="J4" s="66" t="s">
        <v>50</v>
      </c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9.5" customHeight="1" x14ac:dyDescent="0.3">
      <c r="A5" s="69" t="s">
        <v>44</v>
      </c>
      <c r="B5" s="70" t="s">
        <v>47</v>
      </c>
      <c r="C5" s="70" t="s">
        <v>51</v>
      </c>
      <c r="D5" s="70" t="s">
        <v>50</v>
      </c>
      <c r="E5" s="71" t="s">
        <v>52</v>
      </c>
      <c r="F5" s="175" t="s">
        <v>53</v>
      </c>
      <c r="G5" s="141"/>
      <c r="H5" s="142"/>
      <c r="I5" s="72"/>
      <c r="J5" s="66" t="s">
        <v>51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5" customHeight="1" x14ac:dyDescent="0.3">
      <c r="A6" s="73">
        <f>COUNTIF(F9:F996,"Passed")</f>
        <v>7</v>
      </c>
      <c r="B6" s="74">
        <f>COUNTIF(F9:F996,"Failed")</f>
        <v>2</v>
      </c>
      <c r="C6" s="74">
        <f>F6-E6-D6-B6-A6</f>
        <v>0</v>
      </c>
      <c r="D6" s="74">
        <f>COUNTIF(F$9:F$996,"Blocked")</f>
        <v>0</v>
      </c>
      <c r="E6" s="75">
        <f>COUNTIF(F$9:F$996,"Skipped")</f>
        <v>0</v>
      </c>
      <c r="F6" s="176">
        <f>COUNTA(A9:A996)</f>
        <v>9</v>
      </c>
      <c r="G6" s="141"/>
      <c r="H6" s="142"/>
      <c r="I6" s="72"/>
      <c r="J6" s="66" t="s">
        <v>52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" customHeight="1" x14ac:dyDescent="0.3">
      <c r="A7" s="66"/>
      <c r="B7" s="66"/>
      <c r="C7" s="66"/>
      <c r="D7" s="76"/>
      <c r="E7" s="76"/>
      <c r="F7" s="77"/>
      <c r="G7" s="77"/>
      <c r="H7" s="77"/>
      <c r="I7" s="72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25.5" customHeight="1" x14ac:dyDescent="0.3">
      <c r="A8" s="78" t="s">
        <v>54</v>
      </c>
      <c r="B8" s="79" t="s">
        <v>55</v>
      </c>
      <c r="C8" s="79" t="s">
        <v>56</v>
      </c>
      <c r="D8" s="79" t="s">
        <v>57</v>
      </c>
      <c r="E8" s="80" t="s">
        <v>58</v>
      </c>
      <c r="F8" s="80" t="s">
        <v>59</v>
      </c>
      <c r="G8" s="80" t="s">
        <v>60</v>
      </c>
      <c r="H8" s="81" t="s">
        <v>39</v>
      </c>
      <c r="I8" s="82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95" customHeight="1" x14ac:dyDescent="0.3">
      <c r="A9" s="83" t="str">
        <f t="shared" ref="A9:A17" si="0">IF(OR(B9&lt;&gt;"",D9&lt;&gt;""),"["&amp;TEXT($B$2,"##")&amp;"-"&amp;TEXT(ROW()-8,"##")&amp;"]","")</f>
        <v>[ListOrganisation-1]</v>
      </c>
      <c r="B9" s="84" t="s">
        <v>41</v>
      </c>
      <c r="C9" s="84" t="s">
        <v>94</v>
      </c>
      <c r="D9" s="84" t="s">
        <v>95</v>
      </c>
      <c r="E9" s="84" t="s">
        <v>62</v>
      </c>
      <c r="F9" s="85" t="s">
        <v>44</v>
      </c>
      <c r="G9" s="86">
        <v>42019</v>
      </c>
      <c r="H9" s="87"/>
      <c r="I9" s="8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5" customHeight="1" x14ac:dyDescent="0.3">
      <c r="A10" s="83" t="str">
        <f t="shared" si="0"/>
        <v>[ListOrganisation-2]</v>
      </c>
      <c r="B10" s="84" t="s">
        <v>63</v>
      </c>
      <c r="C10" s="84" t="s">
        <v>64</v>
      </c>
      <c r="D10" s="84" t="s">
        <v>65</v>
      </c>
      <c r="E10" s="84" t="s">
        <v>62</v>
      </c>
      <c r="F10" s="85" t="s">
        <v>44</v>
      </c>
      <c r="G10" s="86">
        <v>42019</v>
      </c>
      <c r="H10" s="87"/>
      <c r="I10" s="8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 x14ac:dyDescent="0.3">
      <c r="A11" s="83" t="str">
        <f t="shared" si="0"/>
        <v>[ListOrganisation-3]</v>
      </c>
      <c r="B11" s="84" t="s">
        <v>66</v>
      </c>
      <c r="C11" s="84" t="s">
        <v>67</v>
      </c>
      <c r="D11" s="84" t="s">
        <v>68</v>
      </c>
      <c r="E11" s="84" t="s">
        <v>69</v>
      </c>
      <c r="F11" s="85" t="s">
        <v>44</v>
      </c>
      <c r="G11" s="86">
        <v>42019</v>
      </c>
      <c r="H11" s="87"/>
      <c r="I11" s="89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0" customHeight="1" x14ac:dyDescent="0.3">
      <c r="A12" s="83" t="str">
        <f t="shared" si="0"/>
        <v>[ListOrganisation-4]</v>
      </c>
      <c r="B12" s="84" t="s">
        <v>70</v>
      </c>
      <c r="C12" s="84" t="s">
        <v>71</v>
      </c>
      <c r="D12" s="84" t="s">
        <v>72</v>
      </c>
      <c r="E12" s="84" t="s">
        <v>73</v>
      </c>
      <c r="F12" s="85" t="s">
        <v>44</v>
      </c>
      <c r="G12" s="86">
        <v>42019</v>
      </c>
      <c r="H12" s="87"/>
      <c r="I12" s="8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5" customHeight="1" x14ac:dyDescent="0.3">
      <c r="A13" s="83" t="str">
        <f t="shared" si="0"/>
        <v>[ListOrganisation-5]</v>
      </c>
      <c r="B13" s="84" t="s">
        <v>74</v>
      </c>
      <c r="C13" s="84" t="s">
        <v>75</v>
      </c>
      <c r="D13" s="84" t="s">
        <v>76</v>
      </c>
      <c r="E13" s="84" t="s">
        <v>77</v>
      </c>
      <c r="F13" s="85" t="s">
        <v>44</v>
      </c>
      <c r="G13" s="86">
        <v>42019</v>
      </c>
      <c r="H13" s="90"/>
      <c r="I13" s="9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 x14ac:dyDescent="0.3">
      <c r="A14" s="83" t="str">
        <f t="shared" si="0"/>
        <v>[ListOrganisation-6]</v>
      </c>
      <c r="B14" s="84" t="s">
        <v>78</v>
      </c>
      <c r="C14" s="84" t="s">
        <v>79</v>
      </c>
      <c r="D14" s="84" t="s">
        <v>80</v>
      </c>
      <c r="E14" s="84" t="s">
        <v>81</v>
      </c>
      <c r="F14" s="85" t="s">
        <v>44</v>
      </c>
      <c r="G14" s="86">
        <v>42019</v>
      </c>
      <c r="H14" s="87"/>
      <c r="I14" s="89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75" customHeight="1" x14ac:dyDescent="0.3">
      <c r="A15" s="83" t="str">
        <f t="shared" si="0"/>
        <v>[ListOrganisation-7]</v>
      </c>
      <c r="B15" s="84" t="s">
        <v>82</v>
      </c>
      <c r="C15" s="84" t="s">
        <v>83</v>
      </c>
      <c r="D15" s="84" t="s">
        <v>84</v>
      </c>
      <c r="E15" s="84"/>
      <c r="F15" s="85" t="s">
        <v>44</v>
      </c>
      <c r="G15" s="86">
        <v>42019</v>
      </c>
      <c r="H15" s="87"/>
      <c r="I15" s="8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 x14ac:dyDescent="0.3">
      <c r="A16" s="83" t="str">
        <f t="shared" si="0"/>
        <v>[ListOrganisation-8]</v>
      </c>
      <c r="B16" s="84" t="s">
        <v>85</v>
      </c>
      <c r="C16" s="84" t="s">
        <v>86</v>
      </c>
      <c r="D16" s="84" t="s">
        <v>87</v>
      </c>
      <c r="E16" s="84"/>
      <c r="F16" s="85" t="s">
        <v>47</v>
      </c>
      <c r="G16" s="86">
        <v>42019</v>
      </c>
      <c r="H16" s="87" t="s">
        <v>88</v>
      </c>
      <c r="I16" s="9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 x14ac:dyDescent="0.3">
      <c r="A17" s="83" t="str">
        <f t="shared" si="0"/>
        <v>[ListOrganisation-9]</v>
      </c>
      <c r="B17" s="84" t="s">
        <v>89</v>
      </c>
      <c r="C17" s="84" t="s">
        <v>90</v>
      </c>
      <c r="D17" s="84" t="s">
        <v>91</v>
      </c>
      <c r="E17" s="92" t="s">
        <v>92</v>
      </c>
      <c r="F17" s="85" t="s">
        <v>47</v>
      </c>
      <c r="G17" s="86">
        <v>42019</v>
      </c>
      <c r="H17" s="87" t="s">
        <v>93</v>
      </c>
      <c r="I17" s="9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1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1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1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1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1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1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1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1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8.109375" customWidth="1"/>
    <col min="7" max="7" width="10.33203125" customWidth="1"/>
    <col min="8" max="8" width="20.109375" customWidth="1"/>
    <col min="9" max="9" width="9.33203125" customWidth="1"/>
    <col min="10" max="10" width="7.5546875" hidden="1" customWidth="1"/>
    <col min="11" max="11" width="10.33203125" customWidth="1"/>
    <col min="12" max="26" width="11.44140625" customWidth="1"/>
  </cols>
  <sheetData>
    <row r="1" spans="1:26" ht="13.5" customHeight="1" x14ac:dyDescent="0.3">
      <c r="A1" s="62"/>
      <c r="B1" s="93"/>
      <c r="C1" s="93"/>
      <c r="D1" s="93"/>
      <c r="E1" s="93"/>
      <c r="F1" s="94"/>
      <c r="G1" s="64"/>
      <c r="H1" s="34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 x14ac:dyDescent="0.3">
      <c r="A2" s="67" t="s">
        <v>42</v>
      </c>
      <c r="B2" s="174" t="s">
        <v>96</v>
      </c>
      <c r="C2" s="141"/>
      <c r="D2" s="141"/>
      <c r="E2" s="141"/>
      <c r="F2" s="141"/>
      <c r="G2" s="141"/>
      <c r="H2" s="142"/>
      <c r="I2" s="65"/>
      <c r="J2" s="66" t="s">
        <v>44</v>
      </c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25.5" customHeight="1" x14ac:dyDescent="0.3">
      <c r="A3" s="68" t="s">
        <v>45</v>
      </c>
      <c r="B3" s="174" t="s">
        <v>97</v>
      </c>
      <c r="C3" s="141"/>
      <c r="D3" s="141"/>
      <c r="E3" s="141"/>
      <c r="F3" s="141"/>
      <c r="G3" s="141"/>
      <c r="H3" s="142"/>
      <c r="I3" s="65"/>
      <c r="J3" s="66" t="s">
        <v>47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8" customHeight="1" x14ac:dyDescent="0.3">
      <c r="A4" s="67" t="s">
        <v>48</v>
      </c>
      <c r="B4" s="174" t="s">
        <v>49</v>
      </c>
      <c r="C4" s="141"/>
      <c r="D4" s="141"/>
      <c r="E4" s="141"/>
      <c r="F4" s="141"/>
      <c r="G4" s="141"/>
      <c r="H4" s="142"/>
      <c r="I4" s="65"/>
      <c r="J4" s="66" t="s">
        <v>50</v>
      </c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9.5" customHeight="1" x14ac:dyDescent="0.3">
      <c r="A5" s="69" t="s">
        <v>44</v>
      </c>
      <c r="B5" s="70" t="s">
        <v>47</v>
      </c>
      <c r="C5" s="70" t="s">
        <v>51</v>
      </c>
      <c r="D5" s="70" t="s">
        <v>50</v>
      </c>
      <c r="E5" s="71" t="s">
        <v>52</v>
      </c>
      <c r="F5" s="175" t="s">
        <v>53</v>
      </c>
      <c r="G5" s="141"/>
      <c r="H5" s="142"/>
      <c r="I5" s="72"/>
      <c r="J5" s="66" t="s">
        <v>51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5" customHeight="1" x14ac:dyDescent="0.3">
      <c r="A6" s="73">
        <f>COUNTIF(F9:F996,"Passed")</f>
        <v>3</v>
      </c>
      <c r="B6" s="74">
        <f>COUNTIF(F9:F996,"Failed")</f>
        <v>2</v>
      </c>
      <c r="C6" s="74">
        <f>F6-E6-D6-B6-A6</f>
        <v>1</v>
      </c>
      <c r="D6" s="74">
        <f>COUNTIF(F$9:F$996,"Blocked")</f>
        <v>0</v>
      </c>
      <c r="E6" s="75">
        <f>COUNTIF(F$9:F$996,"Skipped")</f>
        <v>0</v>
      </c>
      <c r="F6" s="176">
        <f>COUNTA(A9:A996)</f>
        <v>6</v>
      </c>
      <c r="G6" s="141"/>
      <c r="H6" s="142"/>
      <c r="I6" s="72"/>
      <c r="J6" s="66" t="s">
        <v>52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" customHeight="1" x14ac:dyDescent="0.3">
      <c r="A7" s="66"/>
      <c r="B7" s="66"/>
      <c r="C7" s="66"/>
      <c r="D7" s="76"/>
      <c r="E7" s="76"/>
      <c r="F7" s="76"/>
      <c r="G7" s="76"/>
      <c r="H7" s="76"/>
      <c r="I7" s="72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25.5" customHeight="1" x14ac:dyDescent="0.3">
      <c r="A8" s="95" t="s">
        <v>54</v>
      </c>
      <c r="B8" s="95" t="s">
        <v>55</v>
      </c>
      <c r="C8" s="95" t="s">
        <v>56</v>
      </c>
      <c r="D8" s="95" t="s">
        <v>57</v>
      </c>
      <c r="E8" s="96" t="s">
        <v>58</v>
      </c>
      <c r="F8" s="96" t="s">
        <v>59</v>
      </c>
      <c r="G8" s="96" t="s">
        <v>60</v>
      </c>
      <c r="H8" s="95" t="s">
        <v>39</v>
      </c>
      <c r="I8" s="82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80" customHeight="1" x14ac:dyDescent="0.3">
      <c r="A9" s="85" t="str">
        <f t="shared" ref="A9:A14" si="0">IF(OR(B9&lt;&gt;"",D9&lt;&gt;""),"["&amp;TEXT($B$2,"##")&amp;"-"&amp;TEXT(ROW()-8,"##")&amp;"]","")</f>
        <v>[AddOrganisation-1]</v>
      </c>
      <c r="B9" s="84" t="s">
        <v>98</v>
      </c>
      <c r="C9" s="84" t="s">
        <v>99</v>
      </c>
      <c r="D9" s="84" t="s">
        <v>100</v>
      </c>
      <c r="E9" s="97"/>
      <c r="F9" s="85" t="s">
        <v>44</v>
      </c>
      <c r="G9" s="86">
        <v>42019</v>
      </c>
      <c r="H9" s="98"/>
      <c r="I9" s="88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120.75" customHeight="1" x14ac:dyDescent="0.3">
      <c r="A10" s="85" t="str">
        <f t="shared" si="0"/>
        <v>[AddOrganisation-2]</v>
      </c>
      <c r="B10" s="84" t="s">
        <v>101</v>
      </c>
      <c r="C10" s="84" t="s">
        <v>102</v>
      </c>
      <c r="D10" s="84" t="s">
        <v>103</v>
      </c>
      <c r="E10" s="97"/>
      <c r="F10" s="85" t="s">
        <v>47</v>
      </c>
      <c r="G10" s="86">
        <v>42019</v>
      </c>
      <c r="H10" s="98" t="s">
        <v>104</v>
      </c>
      <c r="I10" s="88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270" customHeight="1" x14ac:dyDescent="0.3">
      <c r="A11" s="85" t="str">
        <f t="shared" si="0"/>
        <v>[AddOrganisation-3]</v>
      </c>
      <c r="B11" s="84" t="s">
        <v>105</v>
      </c>
      <c r="C11" s="84" t="s">
        <v>106</v>
      </c>
      <c r="D11" s="84" t="s">
        <v>107</v>
      </c>
      <c r="E11" s="97"/>
      <c r="F11" s="85" t="s">
        <v>44</v>
      </c>
      <c r="G11" s="86">
        <v>42019</v>
      </c>
      <c r="H11" s="98"/>
      <c r="I11" s="88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120.75" customHeight="1" x14ac:dyDescent="0.3">
      <c r="A12" s="85" t="str">
        <f t="shared" si="0"/>
        <v>[AddOrganisation-4]</v>
      </c>
      <c r="B12" s="84" t="s">
        <v>108</v>
      </c>
      <c r="C12" s="84" t="s">
        <v>109</v>
      </c>
      <c r="D12" s="84" t="s">
        <v>110</v>
      </c>
      <c r="E12" s="97"/>
      <c r="F12" s="85" t="s">
        <v>47</v>
      </c>
      <c r="G12" s="86">
        <v>42019</v>
      </c>
      <c r="H12" s="98" t="s">
        <v>111</v>
      </c>
      <c r="I12" s="88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240" customHeight="1" x14ac:dyDescent="0.3">
      <c r="A13" s="85" t="str">
        <f t="shared" si="0"/>
        <v>[AddOrganisation-5]</v>
      </c>
      <c r="B13" s="84" t="s">
        <v>112</v>
      </c>
      <c r="C13" s="84" t="s">
        <v>113</v>
      </c>
      <c r="D13" s="84" t="s">
        <v>114</v>
      </c>
      <c r="E13" s="97"/>
      <c r="F13" s="85" t="s">
        <v>44</v>
      </c>
      <c r="G13" s="86">
        <v>42019</v>
      </c>
      <c r="H13" s="98"/>
      <c r="I13" s="88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20.75" customHeight="1" x14ac:dyDescent="0.3">
      <c r="A14" s="85" t="str">
        <f t="shared" si="0"/>
        <v>[AddOrganisation-6]</v>
      </c>
      <c r="B14" s="84" t="s">
        <v>115</v>
      </c>
      <c r="C14" s="84" t="s">
        <v>116</v>
      </c>
      <c r="D14" s="84" t="s">
        <v>117</v>
      </c>
      <c r="E14" s="97"/>
      <c r="F14" s="85" t="s">
        <v>51</v>
      </c>
      <c r="G14" s="86"/>
      <c r="H14" s="98"/>
      <c r="I14" s="88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2.75" customHeight="1" x14ac:dyDescent="0.3">
      <c r="A15" s="7"/>
      <c r="B15" s="7"/>
      <c r="C15" s="7"/>
      <c r="D15" s="7"/>
      <c r="E15" s="7"/>
      <c r="F15" s="100"/>
      <c r="G15" s="7"/>
      <c r="H15" s="7"/>
      <c r="I15" s="89"/>
      <c r="J15" s="66"/>
      <c r="K15" s="6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01"/>
      <c r="G16" s="7"/>
      <c r="H16" s="7"/>
      <c r="I16" s="8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1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1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1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1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1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1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1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1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8.109375" customWidth="1"/>
    <col min="7" max="7" width="10.33203125" customWidth="1"/>
    <col min="8" max="8" width="20.109375" customWidth="1"/>
    <col min="9" max="9" width="9.33203125" customWidth="1"/>
    <col min="10" max="10" width="1.33203125" hidden="1" customWidth="1"/>
    <col min="11" max="11" width="10.33203125" customWidth="1"/>
    <col min="12" max="26" width="11.44140625" customWidth="1"/>
  </cols>
  <sheetData>
    <row r="1" spans="1:26" ht="13.5" customHeight="1" x14ac:dyDescent="0.3">
      <c r="A1" s="62"/>
      <c r="B1" s="93"/>
      <c r="C1" s="93"/>
      <c r="D1" s="93"/>
      <c r="E1" s="93"/>
      <c r="F1" s="94"/>
      <c r="G1" s="64"/>
      <c r="H1" s="34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 x14ac:dyDescent="0.3">
      <c r="A2" s="67" t="s">
        <v>42</v>
      </c>
      <c r="B2" s="174" t="s">
        <v>118</v>
      </c>
      <c r="C2" s="141"/>
      <c r="D2" s="141"/>
      <c r="E2" s="141"/>
      <c r="F2" s="141"/>
      <c r="G2" s="141"/>
      <c r="H2" s="142"/>
      <c r="I2" s="65"/>
      <c r="J2" s="66" t="s">
        <v>44</v>
      </c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25.5" customHeight="1" x14ac:dyDescent="0.3">
      <c r="A3" s="68" t="s">
        <v>45</v>
      </c>
      <c r="B3" s="174" t="s">
        <v>119</v>
      </c>
      <c r="C3" s="141"/>
      <c r="D3" s="141"/>
      <c r="E3" s="141"/>
      <c r="F3" s="141"/>
      <c r="G3" s="141"/>
      <c r="H3" s="142"/>
      <c r="I3" s="65"/>
      <c r="J3" s="66" t="s">
        <v>47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8" customHeight="1" x14ac:dyDescent="0.3">
      <c r="A4" s="67" t="s">
        <v>48</v>
      </c>
      <c r="B4" s="174" t="s">
        <v>49</v>
      </c>
      <c r="C4" s="141"/>
      <c r="D4" s="141"/>
      <c r="E4" s="141"/>
      <c r="F4" s="141"/>
      <c r="G4" s="141"/>
      <c r="H4" s="142"/>
      <c r="I4" s="65"/>
      <c r="J4" s="66" t="s">
        <v>50</v>
      </c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9.5" customHeight="1" x14ac:dyDescent="0.3">
      <c r="A5" s="69" t="s">
        <v>44</v>
      </c>
      <c r="B5" s="70" t="s">
        <v>47</v>
      </c>
      <c r="C5" s="70" t="s">
        <v>51</v>
      </c>
      <c r="D5" s="70" t="s">
        <v>50</v>
      </c>
      <c r="E5" s="71" t="s">
        <v>52</v>
      </c>
      <c r="F5" s="175" t="s">
        <v>53</v>
      </c>
      <c r="G5" s="141"/>
      <c r="H5" s="142"/>
      <c r="I5" s="72"/>
      <c r="J5" s="66" t="s">
        <v>51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5" customHeight="1" x14ac:dyDescent="0.3">
      <c r="A6" s="73">
        <f>COUNTIF(F9:F996,"Passed")</f>
        <v>0</v>
      </c>
      <c r="B6" s="74">
        <f>COUNTIF(F9:F996,"Failed")</f>
        <v>0</v>
      </c>
      <c r="C6" s="74">
        <f>F6-E6-D6-B6-A6</f>
        <v>4</v>
      </c>
      <c r="D6" s="74">
        <f>COUNTIF(F$9:F$996,"Blocked")</f>
        <v>1</v>
      </c>
      <c r="E6" s="75">
        <f>COUNTIF(F$9:F$996,"Skipped")</f>
        <v>1</v>
      </c>
      <c r="F6" s="176">
        <f>COUNTA(A9:A996)</f>
        <v>6</v>
      </c>
      <c r="G6" s="141"/>
      <c r="H6" s="142"/>
      <c r="I6" s="72"/>
      <c r="J6" s="66" t="s">
        <v>52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" customHeight="1" x14ac:dyDescent="0.3">
      <c r="A7" s="66"/>
      <c r="B7" s="66"/>
      <c r="C7" s="66"/>
      <c r="D7" s="76"/>
      <c r="E7" s="76"/>
      <c r="F7" s="76"/>
      <c r="G7" s="76"/>
      <c r="H7" s="76"/>
      <c r="I7" s="72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25.5" customHeight="1" x14ac:dyDescent="0.3">
      <c r="A8" s="95" t="s">
        <v>54</v>
      </c>
      <c r="B8" s="95" t="s">
        <v>55</v>
      </c>
      <c r="C8" s="95" t="s">
        <v>56</v>
      </c>
      <c r="D8" s="95" t="s">
        <v>57</v>
      </c>
      <c r="E8" s="96" t="s">
        <v>58</v>
      </c>
      <c r="F8" s="96" t="s">
        <v>59</v>
      </c>
      <c r="G8" s="96" t="s">
        <v>60</v>
      </c>
      <c r="H8" s="95" t="s">
        <v>39</v>
      </c>
      <c r="I8" s="82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50" customHeight="1" x14ac:dyDescent="0.3">
      <c r="A9" s="85" t="str">
        <f t="shared" ref="A9:A14" si="0">IF(OR(B9&lt;&gt;"",D9&lt;&gt;""),"["&amp;TEXT($B$2,"##")&amp;"-"&amp;TEXT(ROW()-8,"##")&amp;"]","")</f>
        <v>[AmendOrganisation-1]</v>
      </c>
      <c r="B9" s="84" t="s">
        <v>120</v>
      </c>
      <c r="C9" s="84" t="s">
        <v>121</v>
      </c>
      <c r="D9" s="84" t="s">
        <v>122</v>
      </c>
      <c r="E9" s="97"/>
      <c r="F9" s="85" t="s">
        <v>50</v>
      </c>
      <c r="G9" s="86">
        <v>42019</v>
      </c>
      <c r="H9" s="102" t="s">
        <v>123</v>
      </c>
      <c r="I9" s="88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210" customHeight="1" x14ac:dyDescent="0.3">
      <c r="A10" s="85" t="str">
        <f t="shared" si="0"/>
        <v>[AmendOrganisation-2]</v>
      </c>
      <c r="B10" s="84" t="s">
        <v>124</v>
      </c>
      <c r="C10" s="84" t="s">
        <v>125</v>
      </c>
      <c r="D10" s="84" t="s">
        <v>126</v>
      </c>
      <c r="E10" s="97"/>
      <c r="F10" s="85" t="s">
        <v>52</v>
      </c>
      <c r="G10" s="86"/>
      <c r="H10" s="102" t="s">
        <v>127</v>
      </c>
      <c r="I10" s="88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90" customHeight="1" x14ac:dyDescent="0.3">
      <c r="A11" s="85" t="str">
        <f t="shared" si="0"/>
        <v>[AmendOrganisation-3]</v>
      </c>
      <c r="B11" s="84" t="s">
        <v>128</v>
      </c>
      <c r="C11" s="84" t="s">
        <v>129</v>
      </c>
      <c r="D11" s="84" t="s">
        <v>130</v>
      </c>
      <c r="E11" s="97"/>
      <c r="F11" s="85" t="s">
        <v>51</v>
      </c>
      <c r="G11" s="86"/>
      <c r="H11" s="98"/>
      <c r="I11" s="88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120.75" customHeight="1" x14ac:dyDescent="0.3">
      <c r="A12" s="85" t="str">
        <f t="shared" si="0"/>
        <v>[AmendOrganisation-4]</v>
      </c>
      <c r="B12" s="84" t="s">
        <v>131</v>
      </c>
      <c r="C12" s="84" t="s">
        <v>132</v>
      </c>
      <c r="D12" s="84" t="s">
        <v>133</v>
      </c>
      <c r="E12" s="97"/>
      <c r="F12" s="85" t="s">
        <v>51</v>
      </c>
      <c r="G12" s="86"/>
      <c r="H12" s="98"/>
      <c r="I12" s="88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105" customHeight="1" x14ac:dyDescent="0.3">
      <c r="A13" s="85" t="str">
        <f t="shared" si="0"/>
        <v>[AmendOrganisation-5]</v>
      </c>
      <c r="B13" s="84" t="s">
        <v>134</v>
      </c>
      <c r="C13" s="84" t="s">
        <v>135</v>
      </c>
      <c r="D13" s="84" t="s">
        <v>136</v>
      </c>
      <c r="E13" s="97"/>
      <c r="F13" s="85" t="s">
        <v>51</v>
      </c>
      <c r="G13" s="86"/>
      <c r="H13" s="98"/>
      <c r="I13" s="88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20.75" customHeight="1" x14ac:dyDescent="0.3">
      <c r="A14" s="85" t="str">
        <f t="shared" si="0"/>
        <v>[AmendOrganisation-6]</v>
      </c>
      <c r="B14" s="84" t="s">
        <v>137</v>
      </c>
      <c r="C14" s="84" t="s">
        <v>138</v>
      </c>
      <c r="D14" s="84" t="s">
        <v>139</v>
      </c>
      <c r="E14" s="97"/>
      <c r="F14" s="85" t="s">
        <v>51</v>
      </c>
      <c r="G14" s="86"/>
      <c r="H14" s="98"/>
      <c r="I14" s="88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2.75" customHeight="1" x14ac:dyDescent="0.3">
      <c r="A15" s="7"/>
      <c r="B15" s="7"/>
      <c r="C15" s="7"/>
      <c r="D15" s="7"/>
      <c r="E15" s="7"/>
      <c r="F15" s="100"/>
      <c r="G15" s="7"/>
      <c r="H15" s="7"/>
      <c r="I15" s="89"/>
      <c r="J15" s="66"/>
      <c r="K15" s="6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01"/>
      <c r="G16" s="7"/>
      <c r="H16" s="7"/>
      <c r="I16" s="8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1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1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1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1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1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1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1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1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6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5546875" customWidth="1"/>
    <col min="9" max="9" width="30.109375" customWidth="1"/>
    <col min="10" max="26" width="11.44140625" customWidth="1"/>
  </cols>
  <sheetData>
    <row r="1" spans="1:26" ht="25.5" customHeight="1" x14ac:dyDescent="0.4">
      <c r="A1" s="7"/>
      <c r="B1" s="178" t="s">
        <v>140</v>
      </c>
      <c r="C1" s="179"/>
      <c r="D1" s="179"/>
      <c r="E1" s="179"/>
      <c r="F1" s="179"/>
      <c r="G1" s="179"/>
      <c r="H1" s="18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103"/>
      <c r="B2" s="103"/>
      <c r="C2" s="7"/>
      <c r="D2" s="7"/>
      <c r="E2" s="7"/>
      <c r="F2" s="7"/>
      <c r="G2" s="7"/>
      <c r="H2" s="10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">
      <c r="A3" s="7"/>
      <c r="B3" s="105" t="s">
        <v>1</v>
      </c>
      <c r="C3" s="154" t="str">
        <f>Cover!C4</f>
        <v>AB-SD</v>
      </c>
      <c r="D3" s="142"/>
      <c r="E3" s="177" t="s">
        <v>3</v>
      </c>
      <c r="F3" s="142"/>
      <c r="G3" s="106" t="s">
        <v>4</v>
      </c>
      <c r="H3" s="10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">
      <c r="A4" s="7"/>
      <c r="B4" s="105" t="s">
        <v>5</v>
      </c>
      <c r="C4" s="154" t="str">
        <f>Cover!C5</f>
        <v>AB-SD</v>
      </c>
      <c r="D4" s="142"/>
      <c r="E4" s="177" t="s">
        <v>6</v>
      </c>
      <c r="F4" s="142"/>
      <c r="G4" s="106" t="s">
        <v>7</v>
      </c>
      <c r="H4" s="10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">
      <c r="A5" s="7"/>
      <c r="B5" s="108" t="s">
        <v>8</v>
      </c>
      <c r="C5" s="154" t="str">
        <f>C4&amp;"_"&amp;"Test Report"&amp;"_"&amp;"v0.1"</f>
        <v>AB-SD_Test Report_v0.1</v>
      </c>
      <c r="D5" s="142"/>
      <c r="E5" s="177" t="s">
        <v>9</v>
      </c>
      <c r="F5" s="142"/>
      <c r="G5" s="109">
        <v>42019</v>
      </c>
      <c r="H5" s="110" t="s">
        <v>141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">
      <c r="A6" s="103"/>
      <c r="B6" s="108" t="s">
        <v>142</v>
      </c>
      <c r="C6" s="156" t="s">
        <v>143</v>
      </c>
      <c r="D6" s="141"/>
      <c r="E6" s="141"/>
      <c r="F6" s="141"/>
      <c r="G6" s="141"/>
      <c r="H6" s="14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103"/>
      <c r="B7" s="12"/>
      <c r="C7" s="111"/>
      <c r="D7" s="7"/>
      <c r="E7" s="7"/>
      <c r="F7" s="7"/>
      <c r="G7" s="7"/>
      <c r="H7" s="10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7"/>
      <c r="B8" s="12"/>
      <c r="C8" s="111"/>
      <c r="D8" s="7"/>
      <c r="E8" s="7"/>
      <c r="F8" s="7"/>
      <c r="G8" s="7"/>
      <c r="H8" s="10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112"/>
      <c r="B10" s="113" t="s">
        <v>24</v>
      </c>
      <c r="C10" s="114" t="s">
        <v>144</v>
      </c>
      <c r="D10" s="115" t="s">
        <v>145</v>
      </c>
      <c r="E10" s="114" t="s">
        <v>146</v>
      </c>
      <c r="F10" s="114" t="s">
        <v>51</v>
      </c>
      <c r="G10" s="116" t="s">
        <v>50</v>
      </c>
      <c r="H10" s="117" t="s">
        <v>52</v>
      </c>
      <c r="I10" s="117" t="s">
        <v>147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112"/>
      <c r="B11" s="118">
        <v>1</v>
      </c>
      <c r="C11" s="119" t="str">
        <f>'List Organisation'!B2</f>
        <v>ListOrganisation</v>
      </c>
      <c r="D11" s="120">
        <f>'List Organisation'!A6</f>
        <v>7</v>
      </c>
      <c r="E11" s="120">
        <f>'List Organisation'!B6</f>
        <v>2</v>
      </c>
      <c r="F11" s="120">
        <f>'List Organisation'!C6</f>
        <v>0</v>
      </c>
      <c r="G11" s="121">
        <f>'List Organisation'!D6</f>
        <v>0</v>
      </c>
      <c r="H11" s="121">
        <f>'List Organisation'!E6</f>
        <v>0</v>
      </c>
      <c r="I11" s="122">
        <f>'List Organisation'!F6</f>
        <v>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12"/>
      <c r="B12" s="118">
        <v>2</v>
      </c>
      <c r="C12" s="119" t="str">
        <f>'Add Organisation'!B2</f>
        <v>AddOrganisation</v>
      </c>
      <c r="D12" s="120">
        <f>'Add Organisation'!A6</f>
        <v>3</v>
      </c>
      <c r="E12" s="120">
        <f>'Add Organisation'!B6</f>
        <v>2</v>
      </c>
      <c r="F12" s="120">
        <f>'Add Organisation'!C6</f>
        <v>1</v>
      </c>
      <c r="G12" s="121">
        <f>'Add Organisation'!D6</f>
        <v>0</v>
      </c>
      <c r="H12" s="121">
        <f>'Add Organisation'!E6</f>
        <v>0</v>
      </c>
      <c r="I12" s="122">
        <f>'Add Organisation'!F6</f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112"/>
      <c r="B13" s="118">
        <v>3</v>
      </c>
      <c r="C13" s="119" t="str">
        <f>'Amend Organisation'!B2</f>
        <v>AmendOrganisation</v>
      </c>
      <c r="D13" s="120">
        <f>'Amend Organisation'!A6</f>
        <v>0</v>
      </c>
      <c r="E13" s="120">
        <f>'Amend Organisation'!B6</f>
        <v>0</v>
      </c>
      <c r="F13" s="120">
        <f>'Amend Organisation'!C6</f>
        <v>4</v>
      </c>
      <c r="G13" s="120">
        <f>'Amend Organisation'!D6</f>
        <v>1</v>
      </c>
      <c r="H13" s="120">
        <f>'Amend Organisation'!E6</f>
        <v>1</v>
      </c>
      <c r="I13" s="122">
        <f>'Amend Organisation'!F6</f>
        <v>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112"/>
      <c r="B14" s="118"/>
      <c r="C14" s="119"/>
      <c r="D14" s="120"/>
      <c r="E14" s="120"/>
      <c r="F14" s="120"/>
      <c r="G14" s="121"/>
      <c r="H14" s="121"/>
      <c r="I14" s="12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112"/>
      <c r="B15" s="123"/>
      <c r="C15" s="124" t="s">
        <v>148</v>
      </c>
      <c r="D15" s="125">
        <f t="shared" ref="D15:I15" si="0">SUM(D9:D14)</f>
        <v>10</v>
      </c>
      <c r="E15" s="125">
        <f t="shared" si="0"/>
        <v>4</v>
      </c>
      <c r="F15" s="125">
        <f t="shared" si="0"/>
        <v>5</v>
      </c>
      <c r="G15" s="125">
        <f t="shared" si="0"/>
        <v>1</v>
      </c>
      <c r="H15" s="126">
        <f t="shared" si="0"/>
        <v>1</v>
      </c>
      <c r="I15" s="126">
        <f t="shared" si="0"/>
        <v>21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127"/>
      <c r="C16" s="7"/>
      <c r="D16" s="128"/>
      <c r="E16" s="129"/>
      <c r="F16" s="129"/>
      <c r="G16" s="129"/>
      <c r="H16" s="12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5" t="s">
        <v>149</v>
      </c>
      <c r="D17" s="7"/>
      <c r="E17" s="130">
        <f>(D15+E15)*100/(I15-H15-G15)</f>
        <v>73.684210526315795</v>
      </c>
      <c r="F17" s="7" t="s">
        <v>150</v>
      </c>
      <c r="G17" s="7"/>
      <c r="H17" s="7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5" t="s">
        <v>151</v>
      </c>
      <c r="D18" s="7"/>
      <c r="E18" s="130">
        <f>D15*100/(D15+E15)</f>
        <v>71.428571428571431</v>
      </c>
      <c r="F18" s="7" t="s">
        <v>150</v>
      </c>
      <c r="G18" s="7"/>
      <c r="H18" s="7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 List</vt:lpstr>
      <vt:lpstr>TestDesign</vt:lpstr>
      <vt:lpstr>Login-Logout</vt:lpstr>
      <vt:lpstr>List Organisation</vt:lpstr>
      <vt:lpstr>Add Organisation</vt:lpstr>
      <vt:lpstr>Amend Organisation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tường</cp:lastModifiedBy>
  <dcterms:created xsi:type="dcterms:W3CDTF">2014-07-14T08:56:24Z</dcterms:created>
  <dcterms:modified xsi:type="dcterms:W3CDTF">2024-10-31T10:33:15Z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